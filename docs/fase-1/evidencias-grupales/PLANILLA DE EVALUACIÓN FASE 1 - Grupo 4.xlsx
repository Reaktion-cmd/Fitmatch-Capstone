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25cbd1e05728320/Escritorio/Nueva carpeta/003/"/>
    </mc:Choice>
  </mc:AlternateContent>
  <xr:revisionPtr revIDLastSave="685" documentId="8_{2EFDF332-31E9-4C74-A6B5-E695634C1C45}" xr6:coauthVersionLast="47" xr6:coauthVersionMax="47" xr10:uidLastSave="{C0C05700-5A8D-41CD-B226-7EFD2798E9CA}"/>
  <bookViews>
    <workbookView xWindow="3855" yWindow="3855" windowWidth="21600" windowHeight="1129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J67" i="1"/>
  <c r="H67" i="1"/>
  <c r="F67" i="1"/>
  <c r="J66" i="1"/>
  <c r="K66" i="1" s="1"/>
  <c r="H66" i="1"/>
  <c r="I66" i="1" s="1"/>
  <c r="F66" i="1"/>
  <c r="G66" i="1" s="1"/>
  <c r="D66" i="1"/>
  <c r="E66" i="1" s="1"/>
  <c r="J65" i="1"/>
  <c r="K65" i="1" s="1"/>
  <c r="H65" i="1"/>
  <c r="I65" i="1" s="1"/>
  <c r="F65" i="1"/>
  <c r="G65" i="1" s="1"/>
  <c r="D65" i="1"/>
  <c r="J64" i="1"/>
  <c r="K64" i="1" s="1"/>
  <c r="K67" i="1" s="1"/>
  <c r="H64" i="1"/>
  <c r="I64" i="1" s="1"/>
  <c r="I67" i="1" s="1"/>
  <c r="F64" i="1"/>
  <c r="G64" i="1" s="1"/>
  <c r="G67" i="1" s="1"/>
  <c r="E64" i="1"/>
  <c r="D64"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F19" i="1"/>
  <c r="G19" i="1" s="1"/>
  <c r="H19" i="1"/>
  <c r="I19" i="1" s="1"/>
  <c r="J19" i="1"/>
  <c r="K19" i="1" s="1"/>
  <c r="E17" i="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D67" i="1" l="1"/>
  <c r="E65" i="1"/>
  <c r="E67" i="1" s="1"/>
  <c r="C67" i="1" s="1"/>
  <c r="C68" i="1" s="1"/>
  <c r="E57" i="1"/>
  <c r="F57" i="1"/>
  <c r="H57" i="1"/>
  <c r="J57" i="1"/>
  <c r="E34" i="1"/>
  <c r="I34" i="1"/>
  <c r="K34" i="1"/>
  <c r="G34" i="1"/>
  <c r="G57" i="1"/>
  <c r="I57" i="1"/>
  <c r="K57" i="1"/>
  <c r="E46" i="1"/>
  <c r="G46" i="1"/>
  <c r="I46" i="1"/>
  <c r="K46" i="1"/>
  <c r="E13" i="1"/>
  <c r="E14" i="1"/>
  <c r="E15" i="1"/>
  <c r="E16" i="1"/>
  <c r="E22" i="1"/>
  <c r="G20" i="1"/>
  <c r="G21" i="1"/>
  <c r="C57" i="1" l="1"/>
  <c r="D6" i="1" s="1"/>
  <c r="C46" i="1"/>
  <c r="D5" i="1" s="1"/>
  <c r="E21" i="1"/>
  <c r="H21" i="1"/>
  <c r="I21" i="1" s="1"/>
  <c r="J21" i="1"/>
  <c r="K21" i="1" s="1"/>
  <c r="F22" i="1"/>
  <c r="G22" i="1" s="1"/>
  <c r="H22" i="1"/>
  <c r="I22" i="1" s="1"/>
  <c r="J22" i="1"/>
  <c r="K22" i="1" s="1"/>
  <c r="C27" i="1"/>
  <c r="J20" i="1"/>
  <c r="K20" i="1" s="1"/>
  <c r="H20" i="1"/>
  <c r="I20" i="1" s="1"/>
  <c r="E20" i="1"/>
  <c r="J18" i="1"/>
  <c r="K18" i="1" s="1"/>
  <c r="H18" i="1"/>
  <c r="I18" i="1" s="1"/>
  <c r="G18" i="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<sst xmlns="http://schemas.openxmlformats.org/spreadsheetml/2006/main" count="184" uniqueCount="101">
  <si>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</si>
  <si>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</si>
  <si>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</si>
  <si>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</si>
  <si>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</si>
  <si>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</si>
  <si>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</si>
  <si>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</si>
  <si>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</si>
  <si>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</si>
  <si>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</si>
  <si>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</si>
  <si>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</si>
  <si>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</si>
  <si>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</si>
  <si>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</si>
  <si>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</si>
  <si>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</si>
  <si>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</si>
  <si>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</si>
  <si>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</si>
  <si>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</si>
  <si>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</si>
  <si>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</si>
  <si>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</si>
  <si>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</si>
  <si>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</si>
  <si>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</si>
  <si>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</si>
  <si>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</si>
  <si>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</si>
  <si>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</si>
  <si>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</si>
  <si>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</si>
  <si>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</si>
  <si>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</si>
  <si>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</si>
  <si>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</si>
  <si>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</si>
  <si>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</si>
  <si>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</si>
  <si>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</si>
  <si>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</si>
  <si>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</si>
  <si>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</si>
  <si>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</si>
  <si>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</si>
  <si>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</si>
  <si>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</si>
  <si>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</si>
  <si>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</si>
  <si>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</si>
  <si>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</si>
  <si>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</si>
  <si>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</si>
  <si>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</si>
  <si>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</si>
  <si>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</si>
  <si>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</si>
  <si>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</si>
  <si>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</si>
  <si>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</si>
  <si>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</si>
  <si>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</si>
  <si>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</si>
  <si>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</si>
  <si>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</si>
  <si>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</si>
  <si>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</si>
  <si>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</si>
  <si>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</si>
  <si>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</si>
  <si>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</si>
  <si>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</si>
  <si>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</si>
  <si>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</si>
  <si>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</si>
  <si>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</si>
  <si>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</si>
  <si>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</si>
  <si>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</si>
  <si>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</si>
  <si>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</si>
  <si>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</si>
  <si>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</si>
  <si>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</si>
  <si>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</si>
  <si>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</si>
  <si>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</si>
  <si>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</si>
  <si>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</si>
  <si>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</si>
  <si>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</si>
  <si>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</si>
  <si>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</si>
  <si>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</si>
  <si>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Miguel Cacino</t>
  </si>
  <si>
    <t xml:space="preserve">Aida Soto </t>
  </si>
  <si>
    <t>Sebastian Canelo</t>
  </si>
  <si>
    <t xml:space="preserve">Brayan Labrin </t>
  </si>
  <si>
    <t>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</si>
</sst>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pplyProtection="1">
      <alignment horizontal="center"/>
      <protection locked="0"/>
    </xf>
    <xf numFmtId="0" fontId="13" fillId="0" borderId="31" xfId="0" applyFont="1" applyBorder="1" applyAlignment="1">
      <alignment horizontal="left"/>
    </xf>
    <xf numFmtId="0" fontId="0" fillId="0" borderId="31" xfId="0" applyBorder="1" applyAlignment="1">
      <alignment horizontal="center"/>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6" sqref="F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x14ac:dyDescent="0.25">
      <c r="B3" s="3" t="s">
        <v>0</v>
      </c>
      <c r="C3" s="4" t="s">
        <v>1</v>
      </c>
      <c r="D3" s="2" t="s">
        <v>2</v>
      </c>
      <c r="E3" s="56"/>
    </row>
    <row r="4" spans="1:11" x14ac:dyDescent="0.25">
      <c r="A4" s="5">
        <v>1</v>
      </c>
      <c r="B4" s="32" t="s">
        <v>96</v>
      </c>
      <c r="C4" s="6">
        <f>EVALUACION1!$C$24</f>
        <v>6.6</v>
      </c>
      <c r="D4" s="6">
        <f>$C$35</f>
        <v>7</v>
      </c>
      <c r="E4" s="43">
        <f>C4*C$2+D4*D$2</f>
        <v>6.6999999999999993</v>
      </c>
      <c r="G4" s="1"/>
    </row>
    <row r="5" spans="1:11" x14ac:dyDescent="0.25">
      <c r="A5" s="5">
        <v>2</v>
      </c>
      <c r="B5" s="32" t="s">
        <v>97</v>
      </c>
      <c r="C5" s="6">
        <f>EVALUACION1!$C$24</f>
        <v>6.6</v>
      </c>
      <c r="D5" s="6">
        <f>C47</f>
        <v>7</v>
      </c>
      <c r="E5" s="43">
        <f t="shared" ref="E5:E6" si="0">C5*C$2+D5*D$2</f>
        <v>6.6999999999999993</v>
      </c>
      <c r="G5" s="1"/>
    </row>
    <row r="6" spans="1:11" x14ac:dyDescent="0.25">
      <c r="A6" s="5">
        <v>3</v>
      </c>
      <c r="B6" s="49" t="s">
        <v>98</v>
      </c>
      <c r="C6" s="50">
        <f>EVALUACION1!$C$24</f>
        <v>6.6</v>
      </c>
      <c r="D6" s="50">
        <f>C58</f>
        <v>7</v>
      </c>
      <c r="E6" s="51">
        <f t="shared" si="0"/>
        <v>6.6999999999999993</v>
      </c>
      <c r="G6" s="1"/>
    </row>
    <row r="7" spans="1:11" ht="15" customHeight="1" x14ac:dyDescent="0.25">
      <c r="A7" s="5">
        <v>4</v>
      </c>
      <c r="B7" s="52" t="s">
        <v>99</v>
      </c>
      <c r="C7" s="53">
        <v>6.6</v>
      </c>
      <c r="D7" s="53">
        <v>7</v>
      </c>
      <c r="E7" s="53" t="s">
        <v>100</v>
      </c>
    </row>
    <row r="11" spans="1:11" ht="18.75" outlineLevel="1" x14ac:dyDescent="0.25">
      <c r="A11" s="69" t="s">
        <v>3</v>
      </c>
      <c r="B11" s="14"/>
      <c r="C11" s="64" t="s">
        <v>4</v>
      </c>
      <c r="D11" s="65" t="s">
        <v>5</v>
      </c>
      <c r="E11" s="66"/>
      <c r="F11" s="66"/>
      <c r="G11" s="66"/>
      <c r="H11" s="66"/>
      <c r="I11" s="66"/>
      <c r="J11" s="66"/>
      <c r="K11" s="67"/>
    </row>
    <row r="12" spans="1:11" outlineLevel="1" x14ac:dyDescent="0.25">
      <c r="A12" s="55"/>
      <c r="B12" s="24" t="s">
        <v>6</v>
      </c>
      <c r="C12" s="56"/>
      <c r="D12" s="65" t="s">
        <v>7</v>
      </c>
      <c r="E12" s="67"/>
      <c r="F12" s="65" t="s">
        <v>8</v>
      </c>
      <c r="G12" s="67"/>
      <c r="H12" s="65" t="s">
        <v>9</v>
      </c>
      <c r="I12" s="67"/>
      <c r="J12" s="65" t="s">
        <v>10</v>
      </c>
      <c r="K12" s="67"/>
    </row>
    <row r="13" spans="1:11" ht="24" outlineLevel="1" x14ac:dyDescent="0.25">
      <c r="A13" s="70"/>
      <c r="B13" s="35" t="str">
        <f>RUBRICA!A5</f>
        <v>1. Describe brevemente en qué consiste el Proyecto APT, justificando su relevancia para el campo laboral de su carrera.</v>
      </c>
      <c r="C13" s="33" t="s">
        <v>7</v>
      </c>
      <c r="D13" s="16" t="s">
        <v>95</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26.45" customHeight="1" outlineLevel="1" x14ac:dyDescent="0.25">
      <c r="A14" s="70"/>
      <c r="B14" s="35" t="str">
        <f>RUBRICA!A6</f>
        <v>2. Relaciona el Proyecto APT con las competencias del perfil de egreso de su Plan de Estudio.</v>
      </c>
      <c r="C14" s="33" t="s">
        <v>7</v>
      </c>
      <c r="D14" s="16" t="s">
        <v>95</v>
      </c>
      <c r="E14" s="16">
        <f t="shared" ref="E14" si="4">IF(D14="X",100*0.05,"")</f>
        <v>5</v>
      </c>
      <c r="F14" s="16" t="str">
        <f t="shared" ref="F14:F16" si="5">IF($C14=L,"X","")</f>
        <v/>
      </c>
      <c r="G14" s="16" t="str">
        <f t="shared" ref="G14" si="6">IF(F14="X",60*0.05,"")</f>
        <v/>
      </c>
      <c r="H14" s="16" t="str">
        <f t="shared" si="1"/>
        <v/>
      </c>
      <c r="I14" s="16" t="str">
        <f t="shared" ref="I14" si="7">IF(H14="X",30*0.05,"")</f>
        <v/>
      </c>
      <c r="J14" s="16" t="str">
        <f t="shared" si="2"/>
        <v/>
      </c>
      <c r="K14" s="16" t="str">
        <f t="shared" si="3"/>
        <v/>
      </c>
    </row>
    <row r="15" spans="1:11" ht="24" outlineLevel="1" x14ac:dyDescent="0.25">
      <c r="A15" s="70"/>
      <c r="B15" s="35" t="str">
        <f>RUBRICA!A8</f>
        <v xml:space="preserve">4.  Argumenta por qué el proyecto es factible de realizarse en el marco de la asignatura. </v>
      </c>
      <c r="C15" s="33" t="s">
        <v>7</v>
      </c>
      <c r="D15" s="16" t="s">
        <v>95</v>
      </c>
      <c r="E15" s="16">
        <f t="shared" ref="E15:E21" si="8">IF(D15="X",100*0.05,"")</f>
        <v>5</v>
      </c>
      <c r="F15" s="16" t="str">
        <f t="shared" si="5"/>
        <v/>
      </c>
      <c r="G15" s="16" t="str">
        <f t="shared" ref="G15:G21" si="9">IF(F15="X",60*0.05,"")</f>
        <v/>
      </c>
      <c r="H15" s="16" t="str">
        <f t="shared" si="1"/>
        <v/>
      </c>
      <c r="I15" s="16" t="str">
        <f t="shared" ref="I15:I21" si="10">IF(H15="X",30*0.05,"")</f>
        <v/>
      </c>
      <c r="J15" s="16" t="str">
        <f t="shared" si="2"/>
        <v/>
      </c>
      <c r="K15" s="16" t="str">
        <f t="shared" si="3"/>
        <v/>
      </c>
    </row>
    <row r="16" spans="1:11" ht="24" outlineLevel="1" x14ac:dyDescent="0.25">
      <c r="A16" s="70"/>
      <c r="B16" s="35" t="str">
        <f>RUBRICA!A9</f>
        <v xml:space="preserve">5. Formula objetivos claros, concisos y coherentes con la disciplina y la situación a abordar. </v>
      </c>
      <c r="C16" s="33" t="s">
        <v>7</v>
      </c>
      <c r="D16" s="16" t="s">
        <v>95</v>
      </c>
      <c r="E16" s="16">
        <f>IF(D16="X",100*0.05,"")</f>
        <v>5</v>
      </c>
      <c r="F16" s="16" t="str">
        <f t="shared" si="5"/>
        <v/>
      </c>
      <c r="G16" s="16" t="str">
        <f>IF(F16="X",60*0.05,"")</f>
        <v/>
      </c>
      <c r="H16" s="16" t="str">
        <f t="shared" si="1"/>
        <v/>
      </c>
      <c r="I16" s="16" t="str">
        <f>IF(H16="X",30*0.05,"")</f>
        <v/>
      </c>
      <c r="J16" s="16" t="str">
        <f t="shared" si="2"/>
        <v/>
      </c>
      <c r="K16" s="16" t="str">
        <f t="shared" si="3"/>
        <v/>
      </c>
    </row>
    <row r="17" spans="1:11" ht="24" outlineLevel="1" x14ac:dyDescent="0.25">
      <c r="A17" s="70"/>
      <c r="B17" s="35" t="str">
        <f>RUBRICA!A10</f>
        <v>6. Propone una metodología de trabajo que permite alcanzar los objetivos propuestos y es pertinente con los requerimientos disciplinares.</v>
      </c>
      <c r="C17" s="33" t="s">
        <v>7</v>
      </c>
      <c r="D17" s="16" t="s">
        <v>95</v>
      </c>
      <c r="E17" s="16">
        <f t="shared" ref="E17" si="11">IF(D17="X",100*0.1,"")</f>
        <v>10</v>
      </c>
      <c r="F17" s="16" t="str">
        <f t="shared" ref="F17:F22" si="12">IF($C17=L,"X","")</f>
        <v/>
      </c>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70"/>
      <c r="B18" s="35" t="str">
        <f>RUBRICA!A11</f>
        <v xml:space="preserve">7. Establece un plan de trabajo para su proyecto APT considerando los recursos, duración, facilitadores y obstaculizadores en el desarrollo de las actividades. </v>
      </c>
      <c r="C18" s="33" t="s">
        <v>7</v>
      </c>
      <c r="D18" s="16" t="s">
        <v>95</v>
      </c>
      <c r="E18" s="16">
        <v>10</v>
      </c>
      <c r="F18" s="16"/>
      <c r="G18" s="16" t="str">
        <f t="shared" ref="G18" si="18">IF(F18="X",60*0.1,"")</f>
        <v/>
      </c>
      <c r="H18" s="16" t="str">
        <f t="shared" si="14"/>
        <v/>
      </c>
      <c r="I18" s="16" t="str">
        <f t="shared" ref="I18" si="19">IF(H18="X",30*0.1,"")</f>
        <v/>
      </c>
      <c r="J18" s="16" t="str">
        <f t="shared" si="16"/>
        <v/>
      </c>
      <c r="K18" s="16" t="str">
        <f t="shared" si="17"/>
        <v/>
      </c>
    </row>
    <row r="19" spans="1:11" ht="24" outlineLevel="1" x14ac:dyDescent="0.25">
      <c r="A19" s="70"/>
      <c r="B19" s="35" t="str">
        <f>RUBRICA!A12</f>
        <v>8. Determina evidencias, justificando cómo estas dan cuenta del logro de las actividades del Proyecto APT.</v>
      </c>
      <c r="C19" s="33" t="s">
        <v>7</v>
      </c>
      <c r="D19" s="16" t="s">
        <v>95</v>
      </c>
      <c r="E19" s="16">
        <f>IF(D19="X",100*0.05,"")</f>
        <v>5</v>
      </c>
      <c r="F19" s="16" t="str">
        <f t="shared" si="12"/>
        <v/>
      </c>
      <c r="G19" s="16" t="str">
        <f t="shared" ref="G19" si="20">IF(F19="X",60*0.05,"")</f>
        <v/>
      </c>
      <c r="H19" s="16" t="str">
        <f t="shared" si="14"/>
        <v/>
      </c>
      <c r="I19" s="16" t="str">
        <f t="shared" ref="I19" si="21">IF(H19="X",30*0.05,"")</f>
        <v/>
      </c>
      <c r="J19" s="16" t="str">
        <f t="shared" si="16"/>
        <v/>
      </c>
      <c r="K19" s="16" t="str">
        <f t="shared" si="17"/>
        <v/>
      </c>
    </row>
    <row r="20" spans="1:11" ht="24" outlineLevel="1" x14ac:dyDescent="0.25">
      <c r="A20" s="70"/>
      <c r="B20" s="35" t="str">
        <f>RUBRICA!A13</f>
        <v xml:space="preserve">9. Utiliza reglas de redacción, ortografía (literal, puntual, acentual) y las normas para citas y referencias. </v>
      </c>
      <c r="C20" s="33" t="s">
        <v>7</v>
      </c>
      <c r="D20" s="16"/>
      <c r="E20" s="16" t="str">
        <f>IF(D20="X",100*0.05,"")</f>
        <v/>
      </c>
      <c r="F20" s="16" t="s">
        <v>95</v>
      </c>
      <c r="G20" s="16">
        <f t="shared" si="9"/>
        <v>3</v>
      </c>
      <c r="H20" s="16" t="str">
        <f t="shared" si="14"/>
        <v/>
      </c>
      <c r="I20" s="16" t="str">
        <f t="shared" si="10"/>
        <v/>
      </c>
      <c r="J20" s="16" t="str">
        <f t="shared" si="16"/>
        <v/>
      </c>
      <c r="K20" s="16" t="str">
        <f t="shared" si="17"/>
        <v/>
      </c>
    </row>
    <row r="21" spans="1:11" ht="22.9" customHeight="1" outlineLevel="1" x14ac:dyDescent="0.25">
      <c r="A21" s="70"/>
      <c r="B21" s="35" t="str">
        <f>RUBRICA!A14</f>
        <v>10. Cumple completando el contenido del informe de presentación del proyecto de acuerdo con la plantilla entregada.</v>
      </c>
      <c r="C21" s="33" t="s">
        <v>7</v>
      </c>
      <c r="D21" s="16"/>
      <c r="E21" s="16" t="str">
        <f t="shared" si="8"/>
        <v/>
      </c>
      <c r="F21" s="16" t="s">
        <v>95</v>
      </c>
      <c r="G21" s="16">
        <f t="shared" si="9"/>
        <v>3</v>
      </c>
      <c r="H21" s="16" t="str">
        <f t="shared" si="14"/>
        <v/>
      </c>
      <c r="I21" s="16" t="str">
        <f t="shared" si="10"/>
        <v/>
      </c>
      <c r="J21" s="16" t="str">
        <f t="shared" si="16"/>
        <v/>
      </c>
      <c r="K21" s="16" t="str">
        <f t="shared" si="17"/>
        <v/>
      </c>
    </row>
    <row r="22" spans="1:11" ht="36" outlineLevel="1" x14ac:dyDescent="0.25">
      <c r="A22" s="70"/>
      <c r="B22" s="35" t="str">
        <f>RUBRICA!A16</f>
        <v>12. Desarrolla un plan de trabajo que permita del logro de los objetivos propuestos del proyecto de 
acuerdo a los tiempos para su desarrollo</v>
      </c>
      <c r="C22" s="33" t="s">
        <v>7</v>
      </c>
      <c r="D22" s="16" t="s">
        <v>95</v>
      </c>
      <c r="E22" s="16">
        <f>IF(D22="X",100*0.1,"")</f>
        <v>10</v>
      </c>
      <c r="F22" s="16" t="str">
        <f t="shared" si="12"/>
        <v/>
      </c>
      <c r="G22" s="16" t="str">
        <f>IF(F22="X",60*0.1,"")</f>
        <v/>
      </c>
      <c r="H22" s="16" t="str">
        <f t="shared" si="14"/>
        <v/>
      </c>
      <c r="I22" s="16" t="str">
        <f>IF(H22="X",30*0.1,"")</f>
        <v/>
      </c>
      <c r="J22" s="16" t="str">
        <f t="shared" si="16"/>
        <v/>
      </c>
      <c r="K22" s="16" t="str">
        <f t="shared" si="17"/>
        <v/>
      </c>
    </row>
    <row r="23" spans="1:11" ht="15.75" customHeight="1" outlineLevel="1" x14ac:dyDescent="0.3">
      <c r="A23" s="55"/>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
      <c r="A24" s="56"/>
      <c r="B24" s="36" t="s">
        <v>12</v>
      </c>
      <c r="C24" s="20">
        <f>VLOOKUP(C23,ESCALA_IEP!A2:B142,2,FALSE)</f>
        <v>6.6</v>
      </c>
    </row>
    <row r="25" spans="1:11" ht="15.75" customHeight="1" x14ac:dyDescent="0.25"/>
    <row r="26" spans="1:11" ht="15.75" customHeight="1" x14ac:dyDescent="0.25"/>
    <row r="27" spans="1:11" ht="15.75" customHeight="1" x14ac:dyDescent="0.25">
      <c r="A27" s="54" t="s">
        <v>13</v>
      </c>
      <c r="B27" s="57" t="s">
        <v>14</v>
      </c>
      <c r="C27" s="58" t="str">
        <f>$B$4</f>
        <v>Miguel Cacino</v>
      </c>
      <c r="D27" s="59"/>
      <c r="E27" s="59"/>
      <c r="F27" s="59"/>
      <c r="G27" s="59"/>
      <c r="H27" s="59"/>
      <c r="I27" s="59"/>
      <c r="J27" s="59"/>
      <c r="K27" s="60"/>
    </row>
    <row r="28" spans="1:11" ht="15.75" customHeight="1" x14ac:dyDescent="0.25">
      <c r="A28" s="55"/>
      <c r="B28" s="56"/>
      <c r="C28" s="61"/>
      <c r="D28" s="62"/>
      <c r="E28" s="62"/>
      <c r="F28" s="62"/>
      <c r="G28" s="62"/>
      <c r="H28" s="62"/>
      <c r="I28" s="62"/>
      <c r="J28" s="62"/>
      <c r="K28" s="63"/>
    </row>
    <row r="29" spans="1:11" ht="15.75" customHeight="1" x14ac:dyDescent="0.25">
      <c r="A29" s="55"/>
      <c r="B29" s="14" t="s">
        <v>15</v>
      </c>
      <c r="C29" s="64" t="s">
        <v>4</v>
      </c>
      <c r="D29" s="65" t="s">
        <v>5</v>
      </c>
      <c r="E29" s="66"/>
      <c r="F29" s="66"/>
      <c r="G29" s="66"/>
      <c r="H29" s="66"/>
      <c r="I29" s="66"/>
      <c r="J29" s="66"/>
      <c r="K29" s="67"/>
    </row>
    <row r="30" spans="1:11" ht="15.75" customHeight="1" x14ac:dyDescent="0.25">
      <c r="A30" s="55"/>
      <c r="B30" s="15" t="s">
        <v>6</v>
      </c>
      <c r="C30" s="56"/>
      <c r="D30" s="65" t="s">
        <v>7</v>
      </c>
      <c r="E30" s="67"/>
      <c r="F30" s="65" t="s">
        <v>8</v>
      </c>
      <c r="G30" s="67"/>
      <c r="H30" s="65" t="s">
        <v>16</v>
      </c>
      <c r="I30" s="67"/>
      <c r="J30" s="65" t="s">
        <v>10</v>
      </c>
      <c r="K30" s="67"/>
    </row>
    <row r="31" spans="1:11" ht="24.6" customHeight="1" x14ac:dyDescent="0.25">
      <c r="A31" s="55"/>
      <c r="B31" s="35" t="str">
        <f>RUBRICA!A7</f>
        <v>3. Relaciona el Proyecto APT con sus intereses profesionales. *</v>
      </c>
      <c r="C31" s="33" t="s">
        <v>7</v>
      </c>
      <c r="D31" s="16" t="str">
        <f t="shared" ref="D31:D32" si="22">IF($C31=CL,"X","")</f>
        <v>X</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 customHeight="1" x14ac:dyDescent="0.25">
      <c r="A32" s="55"/>
      <c r="B32" s="35" t="str">
        <f>RUBRICA!A15</f>
        <v>11. Expone el tema utilizando un lenguaje técnico disciplinar al presentar la propuesta y responde evidenciando un manejo de la información. *</v>
      </c>
      <c r="C32" s="33" t="s">
        <v>7</v>
      </c>
      <c r="D32" s="16" t="str">
        <f t="shared" si="22"/>
        <v>X</v>
      </c>
      <c r="E32" s="16">
        <f>IF(D32="X",100*0.1,"")</f>
        <v>10</v>
      </c>
      <c r="F32" s="16" t="str">
        <f t="shared" si="23"/>
        <v/>
      </c>
      <c r="G32" s="16" t="str">
        <f>IF(F32="X",60*0.1,"")</f>
        <v/>
      </c>
      <c r="H32" s="16" t="str">
        <f t="shared" si="24"/>
        <v/>
      </c>
      <c r="I32" s="16" t="str">
        <f>IF(H32="X",30*0.1,"")</f>
        <v/>
      </c>
      <c r="J32" s="16" t="str">
        <f t="shared" si="25"/>
        <v/>
      </c>
      <c r="K32" s="16" t="str">
        <f t="shared" si="26"/>
        <v/>
      </c>
    </row>
    <row r="33" spans="1:11" x14ac:dyDescent="0.25">
      <c r="A33" s="55"/>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55"/>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
      <c r="A35" s="56"/>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54" t="s">
        <v>13</v>
      </c>
      <c r="B39" s="57" t="s">
        <v>14</v>
      </c>
      <c r="C39" s="58" t="str">
        <f>B5</f>
        <v xml:space="preserve">Aida Soto </v>
      </c>
      <c r="D39" s="59"/>
      <c r="E39" s="59"/>
      <c r="F39" s="59"/>
      <c r="G39" s="59"/>
      <c r="H39" s="59"/>
      <c r="I39" s="59"/>
      <c r="J39" s="59"/>
      <c r="K39" s="60"/>
    </row>
    <row r="40" spans="1:11" ht="15.75" customHeight="1" x14ac:dyDescent="0.25">
      <c r="A40" s="55"/>
      <c r="B40" s="56"/>
      <c r="C40" s="61"/>
      <c r="D40" s="62"/>
      <c r="E40" s="62"/>
      <c r="F40" s="62"/>
      <c r="G40" s="62"/>
      <c r="H40" s="62"/>
      <c r="I40" s="62"/>
      <c r="J40" s="62"/>
      <c r="K40" s="63"/>
    </row>
    <row r="41" spans="1:11" ht="15.75" customHeight="1" x14ac:dyDescent="0.25">
      <c r="A41" s="55"/>
      <c r="B41" s="14" t="s">
        <v>15</v>
      </c>
      <c r="C41" s="64" t="s">
        <v>4</v>
      </c>
      <c r="D41" s="65" t="s">
        <v>5</v>
      </c>
      <c r="E41" s="66"/>
      <c r="F41" s="66"/>
      <c r="G41" s="66"/>
      <c r="H41" s="66"/>
      <c r="I41" s="66"/>
      <c r="J41" s="66"/>
      <c r="K41" s="67"/>
    </row>
    <row r="42" spans="1:11" ht="15.75" customHeight="1" x14ac:dyDescent="0.25">
      <c r="A42" s="55"/>
      <c r="B42" s="15" t="s">
        <v>6</v>
      </c>
      <c r="C42" s="56"/>
      <c r="D42" s="65" t="s">
        <v>7</v>
      </c>
      <c r="E42" s="67"/>
      <c r="F42" s="65" t="s">
        <v>8</v>
      </c>
      <c r="G42" s="67"/>
      <c r="H42" s="65" t="s">
        <v>16</v>
      </c>
      <c r="I42" s="67"/>
      <c r="J42" s="65" t="s">
        <v>10</v>
      </c>
      <c r="K42" s="67"/>
    </row>
    <row r="43" spans="1:11" ht="25.9" customHeight="1" x14ac:dyDescent="0.25">
      <c r="A43" s="55"/>
      <c r="B43" s="35" t="str">
        <f>RUBRICA!A7</f>
        <v>3. Relaciona el Proyecto APT con sus intereses profesionales. *</v>
      </c>
      <c r="C43" s="33" t="s">
        <v>7</v>
      </c>
      <c r="D43" s="16" t="str">
        <f t="shared" ref="D43:D44" si="28">IF($C43=CL,"X","")</f>
        <v>X</v>
      </c>
      <c r="E43" s="16">
        <f>IF(D43="X",100*0.1,"")</f>
        <v>10</v>
      </c>
      <c r="F43" s="16" t="str">
        <f t="shared" ref="F43:F44"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25">
      <c r="A44" s="55"/>
      <c r="B44" s="35" t="str">
        <f>RUBRICA!A15</f>
        <v>11. Expone el tema utilizando un lenguaje técnico disciplinar al presentar la propuesta y responde evidenciando un manejo de la información. *</v>
      </c>
      <c r="C44" s="33" t="s">
        <v>7</v>
      </c>
      <c r="D44" s="16" t="str">
        <f t="shared" si="28"/>
        <v>X</v>
      </c>
      <c r="E44" s="16">
        <f>IF(D44="X",100*0.1,"")</f>
        <v>10</v>
      </c>
      <c r="F44" s="16" t="str">
        <f t="shared" si="29"/>
        <v/>
      </c>
      <c r="G44" s="16" t="str">
        <f>IF(F44="X",60*0.1,"")</f>
        <v/>
      </c>
      <c r="H44" s="16" t="str">
        <f t="shared" si="30"/>
        <v/>
      </c>
      <c r="I44" s="16" t="str">
        <f>IF(H44="X",30*0.1,"")</f>
        <v/>
      </c>
      <c r="J44" s="16" t="str">
        <f t="shared" si="31"/>
        <v/>
      </c>
      <c r="K44" s="16" t="str">
        <f t="shared" si="32"/>
        <v/>
      </c>
    </row>
    <row r="45" spans="1:11" ht="15.75" customHeight="1" x14ac:dyDescent="0.25">
      <c r="A45" s="55"/>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55"/>
      <c r="B46" s="21" t="s">
        <v>17</v>
      </c>
      <c r="C46" s="18">
        <f>E46+G46+I46+K46</f>
        <v>30</v>
      </c>
      <c r="D46" s="19"/>
      <c r="E46" s="19">
        <f>SUM(E43:E45)</f>
        <v>30</v>
      </c>
      <c r="F46" s="19"/>
      <c r="G46" s="19">
        <f t="shared" ref="G46" si="33">SUM(G43:G45)</f>
        <v>0</v>
      </c>
      <c r="H46" s="19"/>
      <c r="I46" s="19">
        <f t="shared" ref="I46" si="34">SUM(I43:I45)</f>
        <v>0</v>
      </c>
      <c r="J46" s="19"/>
      <c r="K46" s="19">
        <f t="shared" ref="K46" si="35">SUM(K43:K45)</f>
        <v>0</v>
      </c>
    </row>
    <row r="47" spans="1:11" ht="15.75" customHeight="1" x14ac:dyDescent="0.3">
      <c r="A47" s="56"/>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54" t="s">
        <v>13</v>
      </c>
      <c r="B50" s="57" t="s">
        <v>14</v>
      </c>
      <c r="C50" s="58" t="str">
        <f>B6</f>
        <v>Sebastian Canelo</v>
      </c>
      <c r="D50" s="59"/>
      <c r="E50" s="59"/>
      <c r="F50" s="59"/>
      <c r="G50" s="59"/>
      <c r="H50" s="59"/>
      <c r="I50" s="59"/>
      <c r="J50" s="59"/>
      <c r="K50" s="60"/>
    </row>
    <row r="51" spans="1:11" ht="15.75" customHeight="1" x14ac:dyDescent="0.25">
      <c r="A51" s="55"/>
      <c r="B51" s="56"/>
      <c r="C51" s="61"/>
      <c r="D51" s="62"/>
      <c r="E51" s="62"/>
      <c r="F51" s="62"/>
      <c r="G51" s="62"/>
      <c r="H51" s="62"/>
      <c r="I51" s="62"/>
      <c r="J51" s="62"/>
      <c r="K51" s="63"/>
    </row>
    <row r="52" spans="1:11" ht="15.75" customHeight="1" x14ac:dyDescent="0.25">
      <c r="A52" s="55"/>
      <c r="B52" s="14" t="s">
        <v>15</v>
      </c>
      <c r="C52" s="64" t="s">
        <v>4</v>
      </c>
      <c r="D52" s="65" t="s">
        <v>5</v>
      </c>
      <c r="E52" s="66"/>
      <c r="F52" s="66"/>
      <c r="G52" s="66"/>
      <c r="H52" s="66"/>
      <c r="I52" s="66"/>
      <c r="J52" s="66"/>
      <c r="K52" s="67"/>
    </row>
    <row r="53" spans="1:11" ht="15.75" customHeight="1" x14ac:dyDescent="0.25">
      <c r="A53" s="55"/>
      <c r="B53" s="15" t="s">
        <v>6</v>
      </c>
      <c r="C53" s="56"/>
      <c r="D53" s="65" t="s">
        <v>7</v>
      </c>
      <c r="E53" s="67"/>
      <c r="F53" s="65" t="s">
        <v>8</v>
      </c>
      <c r="G53" s="67"/>
      <c r="H53" s="65" t="s">
        <v>16</v>
      </c>
      <c r="I53" s="67"/>
      <c r="J53" s="65" t="s">
        <v>10</v>
      </c>
      <c r="K53" s="67"/>
    </row>
    <row r="54" spans="1:11" ht="25.9" customHeight="1" x14ac:dyDescent="0.25">
      <c r="A54" s="55"/>
      <c r="B54" s="35" t="str">
        <f>RUBRICA!A7</f>
        <v>3. Relaciona el Proyecto APT con sus intereses profesionales. *</v>
      </c>
      <c r="C54" s="33" t="s">
        <v>7</v>
      </c>
      <c r="D54" s="16" t="str">
        <f t="shared" ref="D54:D55" si="36">IF($C54=CL,"X","")</f>
        <v>X</v>
      </c>
      <c r="E54" s="16">
        <f>IF(D54="X",100*0.1,"")</f>
        <v>10</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25">
      <c r="A55" s="55"/>
      <c r="B55" s="35" t="str">
        <f>RUBRICA!A15</f>
        <v>11. Expone el tema utilizando un lenguaje técnico disciplinar al presentar la propuesta y responde evidenciando un manejo de la información. *</v>
      </c>
      <c r="C55" s="33" t="s">
        <v>7</v>
      </c>
      <c r="D55" s="16" t="str">
        <f t="shared" si="36"/>
        <v>X</v>
      </c>
      <c r="E55" s="16">
        <f>IF(D55="X",100*0.1,"")</f>
        <v>10</v>
      </c>
      <c r="F55" s="16" t="str">
        <f t="shared" si="37"/>
        <v/>
      </c>
      <c r="G55" s="16" t="str">
        <f>IF(F55="X",60*0.1,"")</f>
        <v/>
      </c>
      <c r="H55" s="16" t="str">
        <f t="shared" si="38"/>
        <v/>
      </c>
      <c r="I55" s="16" t="str">
        <f>IF(H55="X",30*0.1,"")</f>
        <v/>
      </c>
      <c r="J55" s="16" t="str">
        <f t="shared" si="39"/>
        <v/>
      </c>
      <c r="K55" s="16" t="str">
        <f t="shared" si="40"/>
        <v/>
      </c>
    </row>
    <row r="56" spans="1:11" ht="15.75" customHeight="1" x14ac:dyDescent="0.25">
      <c r="A56" s="55"/>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55"/>
      <c r="B57" s="21" t="s">
        <v>17</v>
      </c>
      <c r="C57" s="18">
        <f>E57+G57+I57+K57</f>
        <v>30</v>
      </c>
      <c r="D57" s="19">
        <f>COUNTIF(D55:D56,"X")</f>
        <v>2</v>
      </c>
      <c r="E57" s="19">
        <f>SUM(E54:E56)</f>
        <v>30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
      <c r="A58" s="56"/>
      <c r="B58" s="17" t="s">
        <v>12</v>
      </c>
      <c r="C58" s="20">
        <f>VLOOKUP(C57,ESCALA_TRAB_EQUIP!A2:B62,2,FALSE)</f>
        <v>7</v>
      </c>
    </row>
    <row r="59" spans="1:11" ht="15.75" customHeight="1" x14ac:dyDescent="0.3">
      <c r="B59" s="22"/>
      <c r="C59" s="23"/>
    </row>
    <row r="60" spans="1:11" ht="15.75" customHeight="1" x14ac:dyDescent="0.25">
      <c r="A60" s="54" t="s">
        <v>13</v>
      </c>
      <c r="B60" s="57" t="s">
        <v>14</v>
      </c>
      <c r="C60" s="58"/>
      <c r="D60" s="59"/>
      <c r="E60" s="59"/>
      <c r="F60" s="59"/>
      <c r="G60" s="59"/>
      <c r="H60" s="59"/>
      <c r="I60" s="59"/>
      <c r="J60" s="59"/>
      <c r="K60" s="60"/>
    </row>
    <row r="61" spans="1:11" ht="15.75" customHeight="1" x14ac:dyDescent="0.25">
      <c r="A61" s="55"/>
      <c r="B61" s="56"/>
      <c r="C61" s="61"/>
      <c r="D61" s="62"/>
      <c r="E61" s="62"/>
      <c r="F61" s="62"/>
      <c r="G61" s="62"/>
      <c r="H61" s="62"/>
      <c r="I61" s="62"/>
      <c r="J61" s="62"/>
      <c r="K61" s="63"/>
    </row>
    <row r="62" spans="1:11" ht="15.75" customHeight="1" x14ac:dyDescent="0.25">
      <c r="A62" s="55"/>
      <c r="B62" s="14" t="s">
        <v>15</v>
      </c>
      <c r="C62" s="64" t="s">
        <v>4</v>
      </c>
      <c r="D62" s="65" t="s">
        <v>5</v>
      </c>
      <c r="E62" s="66"/>
      <c r="F62" s="66"/>
      <c r="G62" s="66"/>
      <c r="H62" s="66"/>
      <c r="I62" s="66"/>
      <c r="J62" s="66"/>
      <c r="K62" s="67"/>
    </row>
    <row r="63" spans="1:11" ht="15.75" customHeight="1" x14ac:dyDescent="0.25">
      <c r="A63" s="55"/>
      <c r="B63" s="15" t="s">
        <v>6</v>
      </c>
      <c r="C63" s="56"/>
      <c r="D63" s="65" t="s">
        <v>7</v>
      </c>
      <c r="E63" s="67"/>
      <c r="F63" s="65" t="s">
        <v>8</v>
      </c>
      <c r="G63" s="67"/>
      <c r="H63" s="65" t="s">
        <v>16</v>
      </c>
      <c r="I63" s="67"/>
      <c r="J63" s="65" t="s">
        <v>10</v>
      </c>
      <c r="K63" s="67"/>
    </row>
    <row r="64" spans="1:11" ht="15.75" customHeight="1" x14ac:dyDescent="0.25">
      <c r="A64" s="55"/>
      <c r="B64" s="35" t="str">
        <f>RUBRICA!A17</f>
        <v>13. Colaboración y trabajo en equipo *</v>
      </c>
      <c r="C64" s="33" t="s">
        <v>7</v>
      </c>
      <c r="D64" s="16" t="str">
        <f t="shared" ref="D64:D65" si="47">IF($C64=CL,"X","")</f>
        <v>X</v>
      </c>
      <c r="E64" s="16">
        <f>IF(D64="X",100*0.1,"")</f>
        <v>10</v>
      </c>
      <c r="F64" s="16" t="str">
        <f t="shared" ref="F64:F65" si="48">IF($C64=L,"X","")</f>
        <v/>
      </c>
      <c r="G64" s="16" t="str">
        <f>IF(F64="X",60*0.1,"")</f>
        <v/>
      </c>
      <c r="H64" s="16" t="str">
        <f t="shared" ref="H64:H65" si="49">IF($C64=ML,"X","")</f>
        <v/>
      </c>
      <c r="I64" s="16" t="str">
        <f>IF(H64="X",30*0.1,"")</f>
        <v/>
      </c>
      <c r="J64" s="16" t="str">
        <f t="shared" ref="J64:J65" si="50">IF($C64=NL,"X","")</f>
        <v/>
      </c>
      <c r="K64" s="16" t="str">
        <f t="shared" ref="K64:K65" si="51">IF($J64="X",0,"")</f>
        <v/>
      </c>
    </row>
    <row r="65" spans="1:11" ht="15.75" customHeight="1" x14ac:dyDescent="0.25">
      <c r="A65" s="55"/>
      <c r="B65" s="35">
        <f>RUBRICA!A25</f>
        <v>0</v>
      </c>
      <c r="C65" s="33" t="s">
        <v>7</v>
      </c>
      <c r="D65" s="16" t="str">
        <f t="shared" si="47"/>
        <v>X</v>
      </c>
      <c r="E65" s="16">
        <f>IF(D65="X",100*0.1,"")</f>
        <v>10</v>
      </c>
      <c r="F65" s="16" t="str">
        <f t="shared" si="48"/>
        <v/>
      </c>
      <c r="G65" s="16" t="str">
        <f>IF(F65="X",60*0.1,"")</f>
        <v/>
      </c>
      <c r="H65" s="16" t="str">
        <f t="shared" si="49"/>
        <v/>
      </c>
      <c r="I65" s="16" t="str">
        <f>IF(H65="X",30*0.1,"")</f>
        <v/>
      </c>
      <c r="J65" s="16" t="str">
        <f t="shared" si="50"/>
        <v/>
      </c>
      <c r="K65" s="16" t="str">
        <f t="shared" si="51"/>
        <v/>
      </c>
    </row>
    <row r="66" spans="1:11" ht="15.75" customHeight="1" x14ac:dyDescent="0.25">
      <c r="A66" s="55"/>
      <c r="B66" s="35">
        <f>RUBRICA!A27</f>
        <v>0</v>
      </c>
      <c r="C66" s="33" t="s">
        <v>7</v>
      </c>
      <c r="D66" s="16" t="str">
        <f>IF($C66=CL,"X","")</f>
        <v>X</v>
      </c>
      <c r="E66" s="16">
        <f>IF(D66="X",100*0.1,"")</f>
        <v>10</v>
      </c>
      <c r="F66" s="16" t="str">
        <f>IF($C66=L,"X","")</f>
        <v/>
      </c>
      <c r="G66" s="16" t="str">
        <f>IF(F66="X",60*0.1,"")</f>
        <v/>
      </c>
      <c r="H66" s="16" t="str">
        <f>IF($C66=ML,"X","")</f>
        <v/>
      </c>
      <c r="I66" s="16" t="str">
        <f>IF(H66="X",30*0.1,"")</f>
        <v/>
      </c>
      <c r="J66" s="16" t="str">
        <f>IF($C66=NL,"X","")</f>
        <v/>
      </c>
      <c r="K66" s="16" t="str">
        <f>IF($J66="X",0,"")</f>
        <v/>
      </c>
    </row>
    <row r="67" spans="1:11" ht="15.75" customHeight="1" x14ac:dyDescent="0.3">
      <c r="A67" s="55"/>
      <c r="B67" s="21" t="s">
        <v>17</v>
      </c>
      <c r="C67" s="18">
        <f>E67+G67+I67+K67</f>
        <v>30</v>
      </c>
      <c r="D67" s="19">
        <f>COUNTIF(D65:D66,"X")</f>
        <v>2</v>
      </c>
      <c r="E67" s="19">
        <f>SUM(E64:E66)</f>
        <v>30</v>
      </c>
      <c r="F67" s="19">
        <f t="shared" ref="F67:K67" si="52">SUM(F64:F66)</f>
        <v>0</v>
      </c>
      <c r="G67" s="19">
        <f t="shared" si="52"/>
        <v>0</v>
      </c>
      <c r="H67" s="19">
        <f t="shared" si="52"/>
        <v>0</v>
      </c>
      <c r="I67" s="19">
        <f t="shared" si="52"/>
        <v>0</v>
      </c>
      <c r="J67" s="19">
        <f t="shared" si="52"/>
        <v>0</v>
      </c>
      <c r="K67" s="19">
        <f t="shared" si="52"/>
        <v>0</v>
      </c>
    </row>
    <row r="68" spans="1:11" ht="33" customHeight="1" x14ac:dyDescent="0.3">
      <c r="A68" s="56"/>
      <c r="B68" s="17" t="s">
        <v>12</v>
      </c>
      <c r="C68" s="20">
        <f>VLOOKUP(C67,ESCALA_TRAB_EQUIP!A12:B72,2,FALSE)</f>
        <v>7</v>
      </c>
    </row>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4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 ref="A60:A68"/>
    <mergeCell ref="B60:B61"/>
    <mergeCell ref="C60:K61"/>
    <mergeCell ref="C62:C63"/>
    <mergeCell ref="D62:K62"/>
    <mergeCell ref="D63:E63"/>
    <mergeCell ref="F63:G63"/>
    <mergeCell ref="H63:I63"/>
    <mergeCell ref="J63:K63"/>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18</v>
      </c>
      <c r="B2" s="77" t="s">
        <v>19</v>
      </c>
      <c r="C2" s="78"/>
      <c r="D2" s="78"/>
      <c r="E2" s="79"/>
      <c r="F2" s="74" t="s">
        <v>20</v>
      </c>
    </row>
    <row r="3" spans="1:6" x14ac:dyDescent="0.25">
      <c r="A3" s="75"/>
      <c r="B3" s="80" t="s">
        <v>21</v>
      </c>
      <c r="C3" s="80" t="s">
        <v>22</v>
      </c>
      <c r="D3" s="25" t="s">
        <v>23</v>
      </c>
      <c r="E3" s="27" t="s">
        <v>10</v>
      </c>
      <c r="F3" s="75"/>
    </row>
    <row r="4" spans="1:6" ht="57.6" customHeight="1" thickBot="1" x14ac:dyDescent="0.3">
      <c r="A4" s="76"/>
      <c r="B4" s="81"/>
      <c r="C4" s="81"/>
      <c r="D4" s="26">
        <v>-0.3</v>
      </c>
      <c r="E4" s="26">
        <v>0</v>
      </c>
      <c r="F4" s="76"/>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71" t="s">
        <v>89</v>
      </c>
      <c r="B18" s="72"/>
      <c r="C18" s="72"/>
      <c r="D18" s="72"/>
      <c r="E18" s="73"/>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92</v>
      </c>
      <c r="B1" s="7" t="s">
        <v>11</v>
      </c>
      <c r="C1" s="8"/>
      <c r="D1" s="8"/>
      <c r="E1" s="9"/>
    </row>
    <row r="2" spans="1:5" ht="45.75" thickBot="1" x14ac:dyDescent="0.3">
      <c r="A2" s="83"/>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2026-09-14T22:59:14Z</dcterms:modified>
  <cp:category/>
  <cp:contentStatus/>
</cp:coreProperties>
</file>